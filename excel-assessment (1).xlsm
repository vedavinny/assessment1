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176428E6-CC11-C334-683E-B6102A28F97D}"/>
  <workbookPr codeName="ThisWorkbook1" hidePivotFieldList="1"/>
  <bookViews>
    <workbookView xWindow="0" yWindow="500" windowWidth="19420" windowHeight="11020" tabRatio="849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/>
  <c r="F30" i="18"/>
  <c r="F29"/>
  <c r="F28"/>
  <c r="E30"/>
  <c r="E29"/>
  <c r="E28"/>
  <c r="D30"/>
  <c r="D29"/>
  <c r="D28"/>
  <c r="C30"/>
  <c r="C29"/>
  <c r="C28"/>
  <c r="B30"/>
  <c r="B29"/>
  <c r="B28"/>
  <c r="C5" i="15"/>
  <c r="H41" i="1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<sst xmlns="http://schemas.openxmlformats.org/spreadsheetml/2006/main" count="406" uniqueCount="183">
  <si>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</si>
  <si>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</si>
  <si>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</si>
  <si>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</si>
  <si>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</si>
  <si>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</si>
  <si>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</si>
  <si>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</si>
  <si>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</si>
  <si>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</si>
  <si>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</si>
  <si>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</si>
  <si>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</si>
  <si>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</si>
  <si>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</si>
  <si>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</si>
  <si>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</si>
  <si>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</si>
  <si>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</si>
  <si>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</si>
  <si>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</si>
  <si>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</si>
  <si>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</si>
  <si>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</si>
  <si>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</si>
  <si>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</si>
  <si>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</si>
  <si>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</si>
  <si>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</si>
  <si>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</si>
  <si>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</si>
  <si>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</si>
  <si>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</si>
  <si>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</si>
  <si>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</si>
  <si>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</si>
  <si>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</si>
  <si>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</si>
  <si>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</si>
  <si>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</si>
  <si>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</si>
  <si>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</si>
  <si>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</si>
  <si>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</si>
  <si>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</si>
  <si>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</si>
  <si>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</si>
  <si>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</si>
  <si>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</si>
  <si>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</si>
  <si>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</si>
  <si>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</si>
  <si>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</si>
  <si>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</si>
  <si>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</si>
  <si>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</si>
  <si>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</si>
  <si>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</si>
  <si>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</si>
  <si>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</si>
  <si>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</si>
  <si>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</si>
  <si>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</si>
  <si>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</si>
  <si>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</si>
  <si>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</si>
  <si>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</si>
  <si>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</si>
  <si>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</si>
  <si>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</si>
  <si>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</si>
  <si>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</si>
  <si>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</si>
  <si>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</si>
  <si>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</si>
  <si>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</si>
  <si>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</si>
  <si>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</si>
  <si>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</si>
  <si>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</si>
  <si>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</si>
  <si>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</si>
  <si>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</si>
  <si>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</si>
  <si>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</si>
  <si>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</si>
  <si>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</si>
  <si>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</si>
  <si>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</si>
  <si>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</si>
  <si>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</si>
  <si>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</si>
  <si>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</si>
  <si>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</si>
  <si>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</si>
  <si>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</si>
  <si>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</si>
  <si>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</si>
  <si>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</si>
  <si>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</si>
  <si>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</si>
  <si>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</si>
  <si>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</si>
  <si>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</si>
  <si>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</si>
  <si>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</si>
  <si>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</si>
  <si>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</si>
  <si>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</si>
  <si>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</si>
  <si>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</si>
  <si>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</si>
  <si>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</si>
  <si>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</si>
  <si>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</si>
  <si>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</si>
  <si>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</si>
  <si>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</si>
  <si>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</si>
  <si>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</si>
  <si>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</si>
  <si>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</si>
  <si>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</si>
  <si>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</si>
  <si>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</si>
  <si>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</si>
  <si>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</si>
  <si>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</si>
  <si>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</si>
  <si>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</si>
  <si>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</si>
  <si>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</si>
  <si>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</si>
  <si>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</si>
  <si>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</si>
  <si>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</si>
  <si>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</si>
  <si>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</si>
  <si>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</si>
  <si>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</si>
  <si>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</si>
  <si>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</si>
  <si>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</si>
  <si>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</si>
  <si>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</si>
  <si>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</si>
  <si>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</si>
  <si>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</si>
  <si>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</si>
  <si>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</si>
  <si>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</si>
  <si>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</si>
  <si>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</si>
  <si>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</si>
  <si>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</si>
  <si>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</si>
  <si>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</si>
  <si>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</si>
  <si>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</si>
  <si>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</si>
  <si>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</si>
  <si>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</si>
  <si>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</si>
  <si>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</si>
  <si>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</si>
  <si>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</si>
  <si>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</si>
  <si>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</si>
  <si>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</si>
  <si>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</si>
  <si>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</si>
  <si>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</si>
  <si>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</si>
  <si>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</si>
  <si>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</si>
  <si>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</si>
  <si>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</si>
  <si>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text to column option</t>
  </si>
  <si>
    <t xml:space="preserve">SELECT THE DATA ----&gt; DATA OPTION ---&gt; TEXT TO COLUMN --&gt;DELIMITED---&gt;OTHER----&gt; FINISH </t>
  </si>
  <si>
    <t>FIND &amp; SELECT</t>
  </si>
  <si>
    <t>SELECT SALES COL ----&gt; REPLACE OPTION --&gt; 20 ----&gt; FIND #N/A</t>
  </si>
  <si>
    <t>I tried using VLOOKUP but I am facing issue to find the exact matches but for sure VLOOKUP is the correct one to use here.</t>
  </si>
  <si>
    <t>VLOOKUP()</t>
  </si>
</sst>
</file>

<file path=xl/styles.xml><?xml version="1.0" encoding="utf-8"?>
<styleSheet xmlns="http://schemas.openxmlformats.org/spreadsheetml/2006/main">
  <numFmts count="2">
    <numFmt numFmtId="164" formatCode="hh:mm:ss;@"/>
    <numFmt numFmtId="165" formatCode="yyyy\-mm\-dd;@"/>
  </numFmts>
  <fonts count="19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18" fillId="0" borderId="0" xfId="0" applyFont="1"/>
    <xf numFmtId="0" fontId="8" fillId="0" borderId="3" xfId="0" applyFont="1" applyBorder="1" applyAlignment="1">
      <alignment wrapText="1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58"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7"/>
      <tableStyleElement type="headerRow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9" tint="0.39997558519241921"/>
  </sheetPr>
  <dimension ref="A1:C15"/>
  <sheetViews>
    <sheetView tabSelected="1" workbookViewId="0"/>
  </sheetViews>
  <sheetFormatPr defaultColWidth="11" defaultRowHeight="13"/>
  <cols>
    <col min="1" max="1" width="70.796875" style="2" bestFit="1" customWidth="1"/>
    <col min="2" max="16384" width="11" style="2"/>
  </cols>
  <sheetData>
    <row r="1" spans="1:3" ht="18.5">
      <c r="A1" s="40" t="s">
        <v>108</v>
      </c>
    </row>
    <row r="2" spans="1:3">
      <c r="A2" s="2" t="s">
        <v>109</v>
      </c>
    </row>
    <row r="3" spans="1:3">
      <c r="A3" s="2" t="s">
        <v>110</v>
      </c>
    </row>
    <row r="4" spans="1:3" ht="14.5">
      <c r="A4" s="2" t="s">
        <v>111</v>
      </c>
      <c r="C4" s="1"/>
    </row>
    <row r="5" spans="1:3">
      <c r="A5" s="2" t="s">
        <v>152</v>
      </c>
    </row>
    <row r="8" spans="1:3">
      <c r="A8" s="2" t="s">
        <v>173</v>
      </c>
    </row>
    <row r="9" spans="1:3">
      <c r="A9" s="37" t="s">
        <v>171</v>
      </c>
      <c r="B9" s="26" t="s">
        <v>169</v>
      </c>
    </row>
    <row r="10" spans="1:3">
      <c r="A10" s="36" t="s">
        <v>172</v>
      </c>
      <c r="B10" s="38">
        <v>25</v>
      </c>
    </row>
    <row r="11" spans="1:3">
      <c r="A11" s="36" t="s">
        <v>55</v>
      </c>
      <c r="B11" s="38">
        <v>30</v>
      </c>
    </row>
    <row r="12" spans="1:3">
      <c r="A12" s="36" t="s">
        <v>56</v>
      </c>
      <c r="B12" s="38">
        <v>10</v>
      </c>
    </row>
    <row r="13" spans="1:3">
      <c r="A13" s="36" t="s">
        <v>85</v>
      </c>
      <c r="B13" s="38">
        <v>20</v>
      </c>
    </row>
    <row r="14" spans="1:3">
      <c r="A14" s="36" t="s">
        <v>98</v>
      </c>
      <c r="B14" s="38">
        <v>40</v>
      </c>
    </row>
    <row r="15" spans="1:3">
      <c r="A15" s="39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X41"/>
  <sheetViews>
    <sheetView topLeftCell="B1" workbookViewId="0">
      <pane ySplit="1" topLeftCell="A2" activePane="bottomLeft" state="frozen"/>
      <selection activeCell="V38" activeCellId="4" sqref="G38 N38 R38 T38 V38"/>
      <selection pane="bottomLeft" activeCell="V34" activeCellId="4" sqref="G34 N34 R34 T34 V34"/>
    </sheetView>
  </sheetViews>
  <sheetFormatPr defaultColWidth="9" defaultRowHeight="14.5"/>
  <cols>
    <col min="1" max="1" width="18.3984375" style="1" bestFit="1" customWidth="1"/>
    <col min="2" max="2" width="6.3984375" style="1" bestFit="1" customWidth="1"/>
    <col min="3" max="3" width="9.69921875" style="1" bestFit="1" customWidth="1"/>
    <col min="4" max="4" width="10.59765625" style="24" bestFit="1" customWidth="1"/>
    <col min="5" max="5" width="8.796875" style="1" bestFit="1" customWidth="1"/>
    <col min="6" max="6" width="9.69921875" style="24" bestFit="1" customWidth="1"/>
    <col min="7" max="9" width="5.296875" style="1" bestFit="1" customWidth="1"/>
    <col min="10" max="12" width="7" style="1" bestFit="1" customWidth="1"/>
    <col min="13" max="15" width="6.3984375" style="1" bestFit="1" customWidth="1"/>
    <col min="16" max="18" width="5.296875" style="1" bestFit="1" customWidth="1"/>
    <col min="19" max="20" width="6.796875" style="1" bestFit="1" customWidth="1"/>
    <col min="21" max="23" width="5.3984375" style="1" bestFit="1" customWidth="1"/>
    <col min="24" max="24" width="11.09765625" style="1" bestFit="1" customWidth="1"/>
    <col min="25" max="16384" width="9" style="1"/>
  </cols>
  <sheetData>
    <row r="1" spans="1:24" s="3" customFormat="1" ht="14.75" customHeight="1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  <row r="41" spans="1:24">
      <c r="H41" s="1">
        <f>SUMIF(H2:H40, "&gt;20")</f>
        <v>1473.0000000000002</v>
      </c>
    </row>
  </sheetData>
  <conditionalFormatting sqref="A1:A1048576">
    <cfRule type="duplicateValues" dxfId="55" priority="5"/>
  </conditionalFormatting>
  <conditionalFormatting sqref="B1:B1048576">
    <cfRule type="duplicateValues" dxfId="54" priority="4"/>
  </conditionalFormatting>
  <conditionalFormatting sqref="G1:U1048576">
    <cfRule type="cellIs" dxfId="50" priority="3" operator="equal">
      <formula>-1</formula>
    </cfRule>
  </conditionalFormatting>
  <conditionalFormatting sqref="G1:W1048576">
    <cfRule type="cellIs" dxfId="49" priority="2" operator="equal">
      <formula>0</formula>
    </cfRule>
    <cfRule type="cellIs" dxfId="48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E14"/>
  <sheetViews>
    <sheetView workbookViewId="0">
      <selection activeCell="C5" sqref="C5"/>
    </sheetView>
  </sheetViews>
  <sheetFormatPr defaultColWidth="11" defaultRowHeight="14.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176</v>
      </c>
    </row>
    <row r="2" spans="1:5">
      <c r="A2" s="2"/>
      <c r="B2" s="5" t="s">
        <v>160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5">
        <f>SUMIF(H2:H40, "&gt;20")</f>
        <v>0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Q30"/>
  <sheetViews>
    <sheetView workbookViewId="0">
      <selection activeCell="F31" sqref="F31"/>
    </sheetView>
  </sheetViews>
  <sheetFormatPr defaultColWidth="11" defaultRowHeight="1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2" customFormat="1" ht="21">
      <c r="A1" s="43" t="s">
        <v>55</v>
      </c>
      <c r="B1" s="42" t="s">
        <v>164</v>
      </c>
    </row>
    <row r="2" spans="1:7" s="42" customFormat="1" ht="21">
      <c r="B2" s="42" t="s">
        <v>161</v>
      </c>
    </row>
    <row r="3" spans="1:7" ht="14.5">
      <c r="A3" s="1"/>
      <c r="B3" s="1"/>
      <c r="C3" s="1"/>
      <c r="D3" s="1"/>
      <c r="E3" s="1"/>
      <c r="F3" s="1"/>
      <c r="G3" s="1"/>
    </row>
    <row r="4" spans="1:7" ht="23.5">
      <c r="A4" s="18" t="s">
        <v>162</v>
      </c>
      <c r="B4" s="1"/>
      <c r="C4" s="1"/>
      <c r="D4" s="1"/>
      <c r="E4" s="1"/>
      <c r="F4" s="1"/>
      <c r="G4" s="1"/>
    </row>
    <row r="5" spans="1:7" ht="14.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>
      <c r="A6" s="7" t="s">
        <v>40</v>
      </c>
      <c r="B6" s="1">
        <v>2.7</v>
      </c>
      <c r="C6" s="1">
        <v>7.6</v>
      </c>
      <c r="D6" s="1">
        <v>4.2</v>
      </c>
      <c r="E6" s="1">
        <v>8.9</v>
      </c>
      <c r="F6" s="1">
        <v>4.2</v>
      </c>
    </row>
    <row r="7" spans="1:7" ht="14.5">
      <c r="A7" s="7" t="s">
        <v>4</v>
      </c>
      <c r="B7" s="1">
        <v>2.7</v>
      </c>
      <c r="C7" s="1">
        <v>7.6</v>
      </c>
      <c r="D7" s="1">
        <v>4.2</v>
      </c>
      <c r="E7" s="1">
        <v>8.9</v>
      </c>
      <c r="F7" s="1">
        <v>4.2</v>
      </c>
    </row>
    <row r="8" spans="1:7" ht="14.5">
      <c r="A8" s="7" t="s">
        <v>7</v>
      </c>
      <c r="B8" s="45">
        <v>3.6</v>
      </c>
      <c r="C8" s="12">
        <v>11.1</v>
      </c>
      <c r="D8" s="12">
        <v>5.8</v>
      </c>
      <c r="E8" s="12">
        <v>12.2</v>
      </c>
      <c r="F8" s="8">
        <v>5.8</v>
      </c>
    </row>
    <row r="9" spans="1:7" ht="14.5">
      <c r="A9" s="7" t="s">
        <v>8</v>
      </c>
      <c r="B9" s="45">
        <v>4.9000000000000004</v>
      </c>
      <c r="C9" s="12">
        <v>13.3</v>
      </c>
      <c r="D9" s="12">
        <v>8.1</v>
      </c>
      <c r="E9" s="12">
        <v>17</v>
      </c>
      <c r="F9" s="8">
        <v>8.1</v>
      </c>
    </row>
    <row r="10" spans="1:7" ht="14.5">
      <c r="A10" s="7" t="s">
        <v>11</v>
      </c>
      <c r="B10" s="1">
        <v>9.4</v>
      </c>
      <c r="C10" s="1">
        <v>28.3</v>
      </c>
      <c r="D10" s="1">
        <v>16.100000000000001</v>
      </c>
      <c r="E10" s="1">
        <v>32.799999999999997</v>
      </c>
      <c r="F10" s="1">
        <v>16.100000000000001</v>
      </c>
    </row>
    <row r="11" spans="1:7" ht="14.5">
      <c r="A11" s="7" t="s">
        <v>12</v>
      </c>
      <c r="B11" s="1">
        <v>11.6</v>
      </c>
      <c r="C11" s="1">
        <v>35.200000000000003</v>
      </c>
      <c r="D11" s="1">
        <v>21.3</v>
      </c>
      <c r="E11" s="1">
        <v>43</v>
      </c>
      <c r="F11" s="1">
        <v>21.3</v>
      </c>
    </row>
    <row r="12" spans="1:7" ht="14.5">
      <c r="A12" s="7" t="s">
        <v>14</v>
      </c>
      <c r="B12" s="1">
        <v>18.399999999999999</v>
      </c>
      <c r="C12" s="1">
        <v>55.6</v>
      </c>
      <c r="D12" s="1">
        <v>33.799999999999997</v>
      </c>
      <c r="E12" s="1">
        <v>67.900000000000006</v>
      </c>
      <c r="F12" s="1">
        <v>33.799999999999997</v>
      </c>
    </row>
    <row r="13" spans="1:7" ht="14.5">
      <c r="A13" s="7" t="s">
        <v>15</v>
      </c>
      <c r="B13" s="45"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4.5">
      <c r="A14" s="7" t="s">
        <v>16</v>
      </c>
      <c r="B14" s="1">
        <v>21.9</v>
      </c>
      <c r="C14" s="1">
        <v>61.5</v>
      </c>
      <c r="D14" s="1">
        <v>40.1</v>
      </c>
      <c r="E14" s="1">
        <v>76.599999999999994</v>
      </c>
      <c r="F14" s="1">
        <v>40.1</v>
      </c>
    </row>
    <row r="15" spans="1:7" ht="14.5">
      <c r="A15" s="7" t="s">
        <v>18</v>
      </c>
      <c r="B15" s="1">
        <v>26.8</v>
      </c>
      <c r="C15" s="1">
        <v>79.599999999999994</v>
      </c>
      <c r="D15" s="1">
        <v>47.9</v>
      </c>
      <c r="E15" s="1">
        <v>96.8</v>
      </c>
      <c r="F15" s="1">
        <v>47.9</v>
      </c>
    </row>
    <row r="16" spans="1:7" ht="14.5">
      <c r="A16" s="7" t="s">
        <v>20</v>
      </c>
      <c r="B16" s="1">
        <v>28.5</v>
      </c>
      <c r="C16" s="1">
        <v>85.4</v>
      </c>
      <c r="D16" s="1">
        <v>52.3</v>
      </c>
      <c r="E16" s="1">
        <v>106.1</v>
      </c>
      <c r="F16" s="1">
        <v>52.3</v>
      </c>
    </row>
    <row r="17" spans="1:17" ht="14.5">
      <c r="A17" s="7" t="s">
        <v>22</v>
      </c>
      <c r="B17" s="1">
        <v>30.7</v>
      </c>
      <c r="C17" s="1">
        <v>92.1</v>
      </c>
      <c r="D17" s="1">
        <v>57</v>
      </c>
      <c r="E17" s="1">
        <v>115.1</v>
      </c>
      <c r="F17" s="1">
        <v>57</v>
      </c>
    </row>
    <row r="18" spans="1:17" ht="14.5">
      <c r="A18" s="7" t="s">
        <v>23</v>
      </c>
      <c r="B18" s="1">
        <v>33.799999999999997</v>
      </c>
      <c r="C18" s="1">
        <v>101.3</v>
      </c>
      <c r="D18" s="1">
        <v>61.4</v>
      </c>
      <c r="E18" s="1">
        <v>124.4</v>
      </c>
      <c r="F18" s="1">
        <v>61.4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ht="14.5">
      <c r="A19" s="7" t="s">
        <v>24</v>
      </c>
      <c r="B19" s="1">
        <v>34.700000000000003</v>
      </c>
      <c r="C19" s="1">
        <v>106.1</v>
      </c>
      <c r="D19" s="1">
        <v>63.6</v>
      </c>
      <c r="E19" s="1">
        <v>128.6</v>
      </c>
      <c r="F19" s="1">
        <v>63.6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ht="14.5">
      <c r="A20" s="7" t="s">
        <v>28</v>
      </c>
      <c r="B20" s="12">
        <v>0</v>
      </c>
      <c r="C20" s="12">
        <v>0</v>
      </c>
      <c r="D20" s="12">
        <v>0</v>
      </c>
      <c r="E20" s="12">
        <v>0</v>
      </c>
      <c r="F20" s="8">
        <v>0</v>
      </c>
    </row>
    <row r="21" spans="1:17" ht="14.5">
      <c r="A21" s="7" t="s">
        <v>57</v>
      </c>
      <c r="B21" s="12">
        <v>41.3</v>
      </c>
      <c r="C21" s="12">
        <v>124.4</v>
      </c>
      <c r="D21" s="12">
        <v>75</v>
      </c>
      <c r="E21" s="12">
        <v>151.5</v>
      </c>
      <c r="F21" s="8">
        <v>75</v>
      </c>
    </row>
    <row r="22" spans="1:17" ht="14.5">
      <c r="A22" s="7" t="s">
        <v>58</v>
      </c>
      <c r="B22" s="1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17" ht="14.5">
      <c r="A23" s="7" t="s">
        <v>31</v>
      </c>
      <c r="B23" s="12">
        <v>45</v>
      </c>
      <c r="C23" s="12">
        <v>133.4</v>
      </c>
      <c r="D23" s="12">
        <v>79.400000000000006</v>
      </c>
      <c r="E23" s="12">
        <v>160.9</v>
      </c>
      <c r="F23" s="8">
        <v>79.400000000000006</v>
      </c>
    </row>
    <row r="24" spans="1:17" ht="14.5">
      <c r="A24" s="7" t="s">
        <v>32</v>
      </c>
      <c r="B24" s="12"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17" ht="14.5">
      <c r="A25" s="7" t="s">
        <v>34</v>
      </c>
      <c r="B25" s="1">
        <v>43.3</v>
      </c>
      <c r="C25" s="1">
        <v>128.6</v>
      </c>
      <c r="D25" s="1">
        <v>79.400000000000006</v>
      </c>
      <c r="E25" s="1">
        <v>160.9</v>
      </c>
      <c r="F25" s="1">
        <v>79.400000000000006</v>
      </c>
    </row>
    <row r="26" spans="1:17" ht="14.5">
      <c r="A26" s="7" t="s">
        <v>37</v>
      </c>
      <c r="B26" s="1">
        <v>49.1</v>
      </c>
      <c r="C26" s="1">
        <v>146.80000000000001</v>
      </c>
      <c r="D26" s="1">
        <v>90.9</v>
      </c>
      <c r="E26" s="1">
        <v>183.5</v>
      </c>
      <c r="F26" s="1">
        <v>90.9</v>
      </c>
    </row>
    <row r="27" spans="1:17" ht="14.5">
      <c r="A27" s="7" t="s">
        <v>39</v>
      </c>
      <c r="B27" s="1">
        <v>51.8</v>
      </c>
      <c r="C27" s="1">
        <v>156.4</v>
      </c>
      <c r="D27" s="1">
        <v>93.1</v>
      </c>
      <c r="E27" s="1">
        <v>188.1</v>
      </c>
      <c r="F27" s="1">
        <v>93.1</v>
      </c>
    </row>
    <row r="28" spans="1:17" ht="14.5">
      <c r="A28" s="19" t="s">
        <v>82</v>
      </c>
      <c r="B28" s="32">
        <f>MIN(B6:B27)</f>
        <v>-1</v>
      </c>
      <c r="C28" s="32">
        <f>MIN(C6:C27)</f>
        <v>-1</v>
      </c>
      <c r="D28" s="32">
        <f>MIN(D6:D27)</f>
        <v>-1</v>
      </c>
      <c r="E28" s="32">
        <f>MIN(E6:E27)</f>
        <v>-1</v>
      </c>
      <c r="F28" s="32">
        <f>MIN(F6:F27)</f>
        <v>-1</v>
      </c>
    </row>
    <row r="29" spans="1:17" ht="14.5">
      <c r="A29" s="19" t="s">
        <v>83</v>
      </c>
      <c r="B29" s="32">
        <f>MAX(B6:B27)</f>
        <v>51.8</v>
      </c>
      <c r="C29" s="32">
        <f>MAX(C6:C27)</f>
        <v>156.4</v>
      </c>
      <c r="D29" s="32">
        <f>MAX(D6:D27)</f>
        <v>93.1</v>
      </c>
      <c r="E29" s="32">
        <f>MAX(E6:E27)</f>
        <v>188.1</v>
      </c>
      <c r="F29" s="32">
        <f>MAX(F6:F27)</f>
        <v>93.1</v>
      </c>
    </row>
    <row r="30" spans="1:17" ht="14.5">
      <c r="A30" s="19" t="s">
        <v>84</v>
      </c>
      <c r="B30" s="32">
        <f>AVERAGE(B6:B27)</f>
        <v>20.827272727272728</v>
      </c>
      <c r="C30" s="32">
        <f>AVERAGE(C6:C27)</f>
        <v>62.377272727272725</v>
      </c>
      <c r="D30" s="32">
        <f>AVERAGE(D6:D27)</f>
        <v>37.800000000000004</v>
      </c>
      <c r="E30" s="32">
        <f>AVERAGE(E6:E27)</f>
        <v>76.418181818181822</v>
      </c>
      <c r="F30" s="32">
        <f>AVERAGE(F6:F27)</f>
        <v>37.800000000000004</v>
      </c>
    </row>
  </sheetData>
  <conditionalFormatting sqref="B6:E7">
    <cfRule type="cellIs" dxfId="44" priority="39" operator="equal">
      <formula>-1</formula>
    </cfRule>
  </conditionalFormatting>
  <conditionalFormatting sqref="B6:F7">
    <cfRule type="cellIs" dxfId="43" priority="37" operator="equal">
      <formula>-1</formula>
    </cfRule>
    <cfRule type="cellIs" dxfId="42" priority="38" operator="equal">
      <formula>0</formula>
    </cfRule>
  </conditionalFormatting>
  <conditionalFormatting sqref="B10:E10">
    <cfRule type="cellIs" dxfId="41" priority="36" operator="equal">
      <formula>-1</formula>
    </cfRule>
  </conditionalFormatting>
  <conditionalFormatting sqref="B10:F10">
    <cfRule type="cellIs" dxfId="39" priority="34" operator="equal">
      <formula>-1</formula>
    </cfRule>
    <cfRule type="cellIs" dxfId="40" priority="35" operator="equal">
      <formula>0</formula>
    </cfRule>
  </conditionalFormatting>
  <conditionalFormatting sqref="B11:E11">
    <cfRule type="cellIs" dxfId="38" priority="33" operator="equal">
      <formula>-1</formula>
    </cfRule>
  </conditionalFormatting>
  <conditionalFormatting sqref="B11:F11">
    <cfRule type="cellIs" dxfId="36" priority="31" operator="equal">
      <formula>-1</formula>
    </cfRule>
    <cfRule type="cellIs" dxfId="37" priority="32" operator="equal">
      <formula>0</formula>
    </cfRule>
  </conditionalFormatting>
  <conditionalFormatting sqref="B12:E12">
    <cfRule type="cellIs" dxfId="35" priority="30" operator="equal">
      <formula>-1</formula>
    </cfRule>
  </conditionalFormatting>
  <conditionalFormatting sqref="B12:F12">
    <cfRule type="cellIs" dxfId="34" priority="28" operator="equal">
      <formula>-1</formula>
    </cfRule>
    <cfRule type="cellIs" dxfId="33" priority="29" operator="equal">
      <formula>0</formula>
    </cfRule>
  </conditionalFormatting>
  <conditionalFormatting sqref="B11:E11">
    <cfRule type="cellIs" dxfId="32" priority="27" operator="equal">
      <formula>-1</formula>
    </cfRule>
  </conditionalFormatting>
  <conditionalFormatting sqref="B11:F11">
    <cfRule type="cellIs" dxfId="30" priority="25" operator="equal">
      <formula>-1</formula>
    </cfRule>
    <cfRule type="cellIs" dxfId="31" priority="26" operator="equal">
      <formula>0</formula>
    </cfRule>
  </conditionalFormatting>
  <conditionalFormatting sqref="B14:E14">
    <cfRule type="cellIs" dxfId="29" priority="24" operator="equal">
      <formula>-1</formula>
    </cfRule>
  </conditionalFormatting>
  <conditionalFormatting sqref="B14:F14">
    <cfRule type="cellIs" dxfId="27" priority="22" operator="equal">
      <formula>-1</formula>
    </cfRule>
    <cfRule type="cellIs" dxfId="28" priority="23" operator="equal">
      <formula>0</formula>
    </cfRule>
  </conditionalFormatting>
  <conditionalFormatting sqref="B15:E15">
    <cfRule type="cellIs" dxfId="26" priority="21" operator="equal">
      <formula>-1</formula>
    </cfRule>
  </conditionalFormatting>
  <conditionalFormatting sqref="B15:F15">
    <cfRule type="cellIs" dxfId="24" priority="19" operator="equal">
      <formula>-1</formula>
    </cfRule>
    <cfRule type="cellIs" dxfId="25" priority="20" operator="equal">
      <formula>0</formula>
    </cfRule>
  </conditionalFormatting>
  <conditionalFormatting sqref="B16:E16">
    <cfRule type="cellIs" dxfId="23" priority="18" operator="equal">
      <formula>-1</formula>
    </cfRule>
  </conditionalFormatting>
  <conditionalFormatting sqref="B16:F16">
    <cfRule type="cellIs" dxfId="21" priority="16" operator="equal">
      <formula>-1</formula>
    </cfRule>
    <cfRule type="cellIs" dxfId="22" priority="17" operator="equal">
      <formula>0</formula>
    </cfRule>
  </conditionalFormatting>
  <conditionalFormatting sqref="B17:E17">
    <cfRule type="cellIs" dxfId="20" priority="15" operator="equal">
      <formula>-1</formula>
    </cfRule>
  </conditionalFormatting>
  <conditionalFormatting sqref="B17:F17">
    <cfRule type="cellIs" dxfId="18" priority="13" operator="equal">
      <formula>-1</formula>
    </cfRule>
    <cfRule type="cellIs" dxfId="19" priority="14" operator="equal">
      <formula>0</formula>
    </cfRule>
  </conditionalFormatting>
  <conditionalFormatting sqref="B18:P19">
    <cfRule type="cellIs" dxfId="17" priority="12" operator="equal">
      <formula>-1</formula>
    </cfRule>
  </conditionalFormatting>
  <conditionalFormatting sqref="B18:Q19">
    <cfRule type="cellIs" dxfId="15" priority="10" operator="equal">
      <formula>-1</formula>
    </cfRule>
    <cfRule type="cellIs" dxfId="16" priority="11" operator="equal">
      <formula>0</formula>
    </cfRule>
  </conditionalFormatting>
  <conditionalFormatting sqref="B27:E27">
    <cfRule type="cellIs" dxfId="14" priority="9" operator="equal">
      <formula>-1</formula>
    </cfRule>
  </conditionalFormatting>
  <conditionalFormatting sqref="B27:F27">
    <cfRule type="cellIs" dxfId="12" priority="7" operator="equal">
      <formula>-1</formula>
    </cfRule>
    <cfRule type="cellIs" dxfId="13" priority="8" operator="equal">
      <formula>0</formula>
    </cfRule>
  </conditionalFormatting>
  <conditionalFormatting sqref="B26:E26">
    <cfRule type="cellIs" dxfId="11" priority="6" operator="equal">
      <formula>-1</formula>
    </cfRule>
  </conditionalFormatting>
  <conditionalFormatting sqref="B26:F26">
    <cfRule type="cellIs" dxfId="8" priority="4" operator="equal">
      <formula>-1</formula>
    </cfRule>
    <cfRule type="cellIs" dxfId="9" priority="5" operator="equal">
      <formula>0</formula>
    </cfRule>
  </conditionalFormatting>
  <conditionalFormatting sqref="B25:E25">
    <cfRule type="cellIs" dxfId="5" priority="3" operator="equal">
      <formula>-1</formula>
    </cfRule>
  </conditionalFormatting>
  <conditionalFormatting sqref="B25:F25">
    <cfRule type="cellIs" dxfId="2" priority="1" operator="equal">
      <formula>-1</formula>
    </cfRule>
    <cfRule type="cellIs" dxfId="3" priority="2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J54"/>
  <sheetViews>
    <sheetView workbookViewId="0">
      <selection activeCell="B6" sqref="B6"/>
    </sheetView>
  </sheetViews>
  <sheetFormatPr defaultColWidth="11" defaultRowHeight="14.5"/>
  <cols>
    <col min="1" max="1" width="39.796875" style="1" bestFit="1" customWidth="1"/>
    <col min="2" max="16384" width="11" style="1"/>
  </cols>
  <sheetData>
    <row r="1" spans="1:10" s="42" customFormat="1" ht="21">
      <c r="A1" s="43" t="s">
        <v>56</v>
      </c>
      <c r="B1" s="42" t="s">
        <v>174</v>
      </c>
    </row>
    <row r="2" spans="1:10" customFormat="1" ht="13"/>
    <row r="3" spans="1:10" s="2" customFormat="1">
      <c r="B3" s="1"/>
    </row>
    <row r="4" spans="1:10" s="2" customFormat="1">
      <c r="B4" s="1" t="s">
        <v>151</v>
      </c>
    </row>
    <row r="5" spans="1:10" ht="18.5">
      <c r="A5" s="44" t="s">
        <v>53</v>
      </c>
      <c r="B5" s="41" t="s">
        <v>177</v>
      </c>
    </row>
    <row r="6" spans="1:10" ht="18.5">
      <c r="A6" s="44" t="s">
        <v>153</v>
      </c>
      <c r="B6" s="41" t="s">
        <v>178</v>
      </c>
    </row>
    <row r="7" spans="1:10" ht="18.5">
      <c r="A7" s="44"/>
      <c r="B7" s="41"/>
    </row>
    <row r="9" spans="1:10" ht="23.5">
      <c r="A9" s="18" t="s">
        <v>165</v>
      </c>
      <c r="I9" s="2"/>
      <c r="J9" s="2"/>
    </row>
    <row r="10" spans="1:10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>
      <c r="A14" s="18" t="s">
        <v>162</v>
      </c>
    </row>
    <row r="15" spans="1:10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C22"/>
  <sheetViews>
    <sheetView workbookViewId="0">
      <selection activeCell="B7" sqref="B7"/>
    </sheetView>
  </sheetViews>
  <sheetFormatPr defaultColWidth="11" defaultRowHeight="1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>
      <c r="A1" s="43" t="s">
        <v>85</v>
      </c>
      <c r="B1" s="42" t="s">
        <v>167</v>
      </c>
    </row>
    <row r="2" spans="1:3" ht="18.5">
      <c r="B2" s="41" t="s">
        <v>166</v>
      </c>
    </row>
    <row r="5" spans="1:3" ht="14.5">
      <c r="B5" s="1" t="s">
        <v>151</v>
      </c>
    </row>
    <row r="6" spans="1:3" ht="14.5">
      <c r="A6" s="3" t="s">
        <v>53</v>
      </c>
      <c r="B6" s="1" t="s">
        <v>179</v>
      </c>
    </row>
    <row r="7" spans="1:3" ht="14.5">
      <c r="A7" s="3" t="s">
        <v>153</v>
      </c>
      <c r="B7" s="1" t="s">
        <v>180</v>
      </c>
    </row>
    <row r="10" spans="1:3" ht="23.5">
      <c r="A10" s="18" t="s">
        <v>162</v>
      </c>
    </row>
    <row r="11" spans="1:3" ht="14.5">
      <c r="A11" s="33" t="s">
        <v>86</v>
      </c>
      <c r="B11" s="17" t="s">
        <v>87</v>
      </c>
      <c r="C11" s="17" t="s">
        <v>88</v>
      </c>
    </row>
    <row r="12" spans="1:3" ht="14.5">
      <c r="A12" s="33">
        <v>44927</v>
      </c>
      <c r="B12" s="17" t="s">
        <v>59</v>
      </c>
      <c r="C12" s="17">
        <v>200</v>
      </c>
    </row>
    <row r="13" spans="1:3" ht="14.5">
      <c r="A13" s="33">
        <v>44928</v>
      </c>
      <c r="B13" s="17" t="s">
        <v>60</v>
      </c>
      <c r="C13" s="17">
        <v>20</v>
      </c>
    </row>
    <row r="14" spans="1:3" ht="14.5">
      <c r="A14" s="33">
        <v>44929</v>
      </c>
      <c r="B14" s="17" t="s">
        <v>61</v>
      </c>
      <c r="C14" s="17">
        <v>50</v>
      </c>
    </row>
    <row r="15" spans="1:3" ht="14.5">
      <c r="A15" s="33">
        <v>44930</v>
      </c>
      <c r="B15" s="17" t="s">
        <v>62</v>
      </c>
      <c r="C15" s="17">
        <v>20</v>
      </c>
    </row>
    <row r="16" spans="1:3" ht="14.5">
      <c r="A16" s="33">
        <v>44931</v>
      </c>
      <c r="B16" s="17" t="s">
        <v>63</v>
      </c>
      <c r="C16" s="17">
        <v>10</v>
      </c>
    </row>
    <row r="17" spans="1:3" ht="14.5">
      <c r="A17" s="33">
        <v>44932</v>
      </c>
      <c r="B17" s="17" t="s">
        <v>154</v>
      </c>
      <c r="C17" s="17">
        <v>150</v>
      </c>
    </row>
    <row r="18" spans="1:3" ht="14.5">
      <c r="A18" s="33">
        <v>44933</v>
      </c>
      <c r="B18" s="17" t="s">
        <v>155</v>
      </c>
      <c r="C18" s="17">
        <v>80</v>
      </c>
    </row>
    <row r="19" spans="1:3" ht="14.5">
      <c r="A19" s="33">
        <v>44934</v>
      </c>
      <c r="B19" s="17" t="s">
        <v>156</v>
      </c>
      <c r="C19" s="17">
        <v>20</v>
      </c>
    </row>
    <row r="20" spans="1:3" ht="14.5">
      <c r="A20" s="33">
        <v>44935</v>
      </c>
      <c r="B20" s="17" t="s">
        <v>157</v>
      </c>
      <c r="C20" s="17">
        <v>30</v>
      </c>
    </row>
    <row r="21" spans="1:3" ht="14.5">
      <c r="A21" s="33">
        <v>44936</v>
      </c>
      <c r="B21" s="17" t="s">
        <v>158</v>
      </c>
      <c r="C21" s="17">
        <v>20</v>
      </c>
    </row>
    <row r="22" spans="1:3" ht="14.5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N35"/>
  <sheetViews>
    <sheetView workbookViewId="0">
      <selection activeCell="C23" sqref="C23"/>
    </sheetView>
  </sheetViews>
  <sheetFormatPr defaultColWidth="11" defaultRowHeight="13"/>
  <cols>
    <col min="1" max="1" width="28.19921875" style="2" bestFit="1" customWidth="1"/>
    <col min="2" max="16384" width="11" style="2"/>
  </cols>
  <sheetData>
    <row r="1" spans="1:14" ht="21">
      <c r="A1" s="43" t="s">
        <v>98</v>
      </c>
      <c r="B1" s="42" t="s">
        <v>175</v>
      </c>
    </row>
    <row r="3" spans="1:14" ht="14.5">
      <c r="B3" s="1" t="s">
        <v>151</v>
      </c>
    </row>
    <row r="4" spans="1:14" ht="18.5">
      <c r="A4" s="44" t="s">
        <v>53</v>
      </c>
      <c r="B4" s="1"/>
      <c r="C4" s="2" t="s">
        <v>182</v>
      </c>
    </row>
    <row r="5" spans="1:14" ht="18.5">
      <c r="A5" s="44" t="s">
        <v>153</v>
      </c>
      <c r="B5" s="1"/>
      <c r="C5" s="2" t="s">
        <v>181</v>
      </c>
    </row>
    <row r="6" spans="1:14" ht="14.5">
      <c r="A6" s="3"/>
      <c r="B6" s="1"/>
    </row>
    <row r="8" spans="1:14" ht="23.5">
      <c r="A8" s="18" t="s">
        <v>162</v>
      </c>
      <c r="M8" s="18" t="s">
        <v>163</v>
      </c>
    </row>
    <row r="9" spans="1:14" ht="14.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>
      <c r="A21" s="18" t="s">
        <v>168</v>
      </c>
    </row>
    <row r="22" spans="1:14" ht="14.5">
      <c r="A22" s="14" t="s">
        <v>100</v>
      </c>
      <c r="B22" s="17" t="s">
        <v>101</v>
      </c>
      <c r="C22" s="16" t="s">
        <v>102</v>
      </c>
    </row>
    <row r="23" spans="1:14" ht="14.5">
      <c r="A23" s="7">
        <v>10100</v>
      </c>
      <c r="B23" s="12">
        <v>10102</v>
      </c>
      <c r="C23" s="46"/>
    </row>
    <row r="24" spans="1:14" ht="14.5">
      <c r="A24" s="7">
        <v>10100</v>
      </c>
      <c r="B24" s="12">
        <v>10104</v>
      </c>
      <c r="C24" s="46"/>
    </row>
    <row r="25" spans="1:14" ht="14.5">
      <c r="A25" s="7">
        <v>10108</v>
      </c>
      <c r="B25" s="12">
        <v>10102</v>
      </c>
      <c r="C25" s="46"/>
    </row>
    <row r="26" spans="1:14" ht="14.5">
      <c r="A26" s="7">
        <v>10100</v>
      </c>
      <c r="B26" s="12">
        <v>10106</v>
      </c>
      <c r="C26" s="46"/>
    </row>
    <row r="27" spans="1:14" ht="14.5">
      <c r="A27" s="7">
        <v>10108</v>
      </c>
      <c r="B27" s="12">
        <v>10110</v>
      </c>
      <c r="C27" s="46"/>
    </row>
    <row r="28" spans="1:14" ht="14.5">
      <c r="A28" s="7">
        <v>10102</v>
      </c>
      <c r="B28" s="12">
        <v>10104</v>
      </c>
      <c r="C28" s="46"/>
    </row>
    <row r="29" spans="1:14" ht="14.5">
      <c r="A29" s="7">
        <v>10106</v>
      </c>
      <c r="B29" s="12">
        <v>10108</v>
      </c>
      <c r="C29" s="46"/>
    </row>
    <row r="30" spans="1:14" ht="14.5">
      <c r="A30" s="7">
        <v>10102</v>
      </c>
      <c r="B30" s="12">
        <v>10106</v>
      </c>
      <c r="C30" s="46"/>
    </row>
    <row r="31" spans="1:14" ht="14.5">
      <c r="A31" s="7">
        <v>10110</v>
      </c>
      <c r="B31" s="12">
        <v>10114</v>
      </c>
      <c r="C31" s="46"/>
    </row>
    <row r="32" spans="1:14" ht="14.5">
      <c r="A32" s="7">
        <v>10104</v>
      </c>
      <c r="B32" s="12">
        <v>10106</v>
      </c>
      <c r="C32" s="46"/>
    </row>
    <row r="33" spans="1:3" ht="14.5">
      <c r="A33" s="7">
        <v>10110</v>
      </c>
      <c r="B33" s="12">
        <v>10112</v>
      </c>
      <c r="C33" s="46"/>
    </row>
    <row r="34" spans="1:3" ht="14.5">
      <c r="A34" s="7">
        <v>10100</v>
      </c>
      <c r="B34" s="12">
        <v>10114</v>
      </c>
      <c r="C34" s="46"/>
    </row>
    <row r="35" spans="1:3" ht="14.5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veda vineetha</cp:lastModifiedBy>
  <dcterms:created xsi:type="dcterms:W3CDTF">2015-02-10T17:33:11Z</dcterms:created>
  <dcterms:modified xsi:type="dcterms:W3CDTF">2023-12-09T16:43:27Z</dcterms:modified>
</cp:coreProperties>
</file>